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Feed" sheetId="1" state="visible" r:id="rId1"/>
    <sheet xmlns:r="http://schemas.openxmlformats.org/officeDocument/2006/relationships" name="Derived Rates" sheetId="2" state="visible" r:id="rId2"/>
    <sheet xmlns:r="http://schemas.openxmlformats.org/officeDocument/2006/relationships" name="Rolling Window" sheetId="3" state="visible" r:id="rId3"/>
    <sheet xmlns:r="http://schemas.openxmlformats.org/officeDocument/2006/relationships" name="Ale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3" fillId="0" borderId="1" pivotButton="0" quotePrefix="0" xfId="0"/>
    <xf numFmtId="164" fontId="4" fillId="0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0" fontId="1" fillId="0" borderId="1" pivotButton="0" quotePrefix="0" xfId="0"/>
    <xf numFmtId="0" fontId="4" fillId="0" borderId="1" pivotButton="0" quotePrefix="0" xfId="0"/>
    <xf numFmtId="0" fontId="6" fillId="0" borderId="1" pivotButton="0" quotePrefix="0" xfId="0"/>
    <xf numFmtId="0" fontId="5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32" customWidth="1" min="3" max="3"/>
    <col width="14" customWidth="1" min="4" max="4"/>
  </cols>
  <sheetData>
    <row r="1">
      <c r="A1" s="1" t="inlineStr">
        <is>
          <t>Subscribe to raw bid/ask subjects. Mid is computed here.</t>
        </is>
      </c>
    </row>
    <row r="2">
      <c r="A2" s="2" t="inlineStr">
        <is>
          <t>Pair</t>
        </is>
      </c>
      <c r="B2" s="2" t="inlineStr">
        <is>
          <t>Bid</t>
        </is>
      </c>
      <c r="C2" s="2" t="inlineStr">
        <is>
          <t>Ask</t>
        </is>
      </c>
      <c r="D2" s="2" t="inlineStr">
        <is>
          <t>Mid</t>
        </is>
      </c>
    </row>
    <row r="3">
      <c r="A3" s="3" t="inlineStr">
        <is>
          <t>EURUSD</t>
        </is>
      </c>
      <c r="B3" s="4">
        <f>NATS.SUB("fx.raw.EURUSD.bid")</f>
        <v/>
      </c>
      <c r="C3" s="4">
        <f>NATS.SUB("fx.raw.EURUSD.ask")</f>
        <v/>
      </c>
      <c r="D3" s="5">
        <f>(B3+C3)/2</f>
        <v/>
      </c>
    </row>
    <row r="4">
      <c r="A4" s="3" t="inlineStr">
        <is>
          <t>GBPUSD</t>
        </is>
      </c>
      <c r="B4" s="4">
        <f>NATS.SUB("fx.raw.GBPUSD.bid")</f>
        <v/>
      </c>
      <c r="C4" s="4">
        <f>NATS.SUB("fx.raw.GBPUSD.ask")</f>
        <v/>
      </c>
      <c r="D4" s="5">
        <f>(B4+C4)/2</f>
        <v/>
      </c>
    </row>
    <row r="5">
      <c r="A5" s="3" t="inlineStr">
        <is>
          <t>USDJPY</t>
        </is>
      </c>
      <c r="B5" s="6">
        <f>NATS.SUB("fx.raw.USDJPY.bid")</f>
        <v/>
      </c>
      <c r="C5" s="6">
        <f>NATS.SUB("fx.raw.USDJPY.ask")</f>
        <v/>
      </c>
      <c r="D5" s="7">
        <f>(B5+C5)/2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</cols>
  <sheetData>
    <row r="1">
      <c r="A1" s="1" t="inlineStr">
        <is>
          <t>Cross-rates derived from Raw Feed mids. No separate subscription needed.</t>
        </is>
      </c>
    </row>
    <row r="2">
      <c r="A2" s="2" t="inlineStr">
        <is>
          <t>Pair</t>
        </is>
      </c>
      <c r="B2" s="2" t="inlineStr">
        <is>
          <t>Mid</t>
        </is>
      </c>
      <c r="C2" s="2" t="inlineStr">
        <is>
          <t>How</t>
        </is>
      </c>
    </row>
    <row r="3">
      <c r="A3" s="3" t="inlineStr">
        <is>
          <t>EURGBP</t>
        </is>
      </c>
      <c r="B3" s="8">
        <f>'Raw Feed'!D3/'Raw Feed'!D4</f>
        <v/>
      </c>
      <c r="C3" s="9" t="inlineStr">
        <is>
          <t>EURUSD mid / GBPUSD mid</t>
        </is>
      </c>
    </row>
    <row r="4">
      <c r="A4" s="3" t="inlineStr">
        <is>
          <t>JPYUSD</t>
        </is>
      </c>
      <c r="B4" s="8">
        <f>1/'Raw Feed'!D5</f>
        <v/>
      </c>
      <c r="C4" s="9" t="inlineStr">
        <is>
          <t>1 / USDJPY mid</t>
        </is>
      </c>
    </row>
    <row r="5">
      <c r="A5" s="3" t="inlineStr">
        <is>
          <t>EURJPY</t>
        </is>
      </c>
      <c r="B5" s="8">
        <f>'Raw Feed'!D3*'Raw Feed'!D5</f>
        <v/>
      </c>
      <c r="C5" s="9" t="inlineStr">
        <is>
          <t>EURUSD mid * USDJPY mid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" customWidth="1" min="3" max="3"/>
    <col width="22" customWidth="1" min="4" max="4"/>
    <col width="14" customWidth="1" min="5" max="5"/>
  </cols>
  <sheetData>
    <row r="1">
      <c r="A1" s="1" t="inlineStr">
        <is>
          <t>60-tick rolling window on EURUSD mid. Publisher emits fx.raw.EURUSD.mid</t>
        </is>
      </c>
    </row>
    <row r="2">
      <c r="A2" s="2" t="inlineStr">
        <is>
          <t>Window handle</t>
        </is>
      </c>
      <c r="B2" s="2" t="inlineStr">
        <is>
          <t>Value</t>
        </is>
      </c>
      <c r="D2" s="2" t="inlineStr">
        <is>
          <t>Statistic</t>
        </is>
      </c>
      <c r="E2" s="2" t="inlineStr">
        <is>
          <t>Value</t>
        </is>
      </c>
    </row>
    <row r="3">
      <c r="A3" s="10">
        <f>NATS.SUBWIN("fx.raw.EURUSD.mid", 60)</f>
        <v/>
      </c>
      <c r="B3" s="11">
        <f>NATS.SUBWIN.VALS(A3)</f>
        <v/>
      </c>
      <c r="D3" s="3" t="inlineStr">
        <is>
          <t>Rolling mean</t>
        </is>
      </c>
      <c r="E3" s="5">
        <f>AVERAGE(NATS.SUBWIN.VALS(A3))</f>
        <v/>
      </c>
    </row>
    <row r="4">
      <c r="A4" s="1" t="inlineStr">
        <is>
          <t>B3# spills 60 values down. Use B3# as sparkline source.</t>
        </is>
      </c>
      <c r="D4" s="3" t="inlineStr">
        <is>
          <t>Rolling vol (stdev)</t>
        </is>
      </c>
      <c r="E4" s="5">
        <f>STDEV(NATS.SUBWIN.VALS(A3))</f>
        <v/>
      </c>
    </row>
    <row r="5">
      <c r="D5" s="3" t="inlineStr">
        <is>
          <t>Range (max-min)</t>
        </is>
      </c>
      <c r="E5" s="5">
        <f>MAX(NATS.SUBWIN.VALS(A3))-MIN(NATS.SUBWIN.VALS(A3))</f>
        <v/>
      </c>
    </row>
    <row r="6">
      <c r="D6" s="3" t="inlineStr">
        <is>
          <t>Z-score of drift</t>
        </is>
      </c>
      <c r="E6" s="5">
        <f>(E3-INDEX(NATS.SUBWIN.VALS(A3),60))/E4</f>
        <v/>
      </c>
    </row>
    <row r="8">
      <c r="D8" s="1" t="inlineStr">
        <is>
          <t>Z-score &gt; 2 or &lt; -2 triggers alert in Alerts sheet.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Classifies regime from rolling z-score. Publishes results back to NATS.</t>
        </is>
      </c>
    </row>
    <row r="2">
      <c r="A2" s="2" t="inlineStr">
        <is>
          <t>Description</t>
        </is>
      </c>
      <c r="B2" s="2" t="inlineStr">
        <is>
          <t>Formula / Value</t>
        </is>
      </c>
      <c r="C2" s="2" t="inlineStr">
        <is>
          <t>NATS subject</t>
        </is>
      </c>
    </row>
    <row r="3">
      <c r="A3" s="3" t="inlineStr">
        <is>
          <t>Regime</t>
        </is>
      </c>
      <c r="B3" s="12">
        <f>IF('Rolling Window'!E6&gt;2,"BREAKOUT_UP",IF('Rolling Window'!E6&lt;-2,"BREAKOUT_DOWN","RANGING"))</f>
        <v/>
      </c>
      <c r="C3" s="13" t="inlineStr"/>
    </row>
    <row r="4">
      <c r="A4" s="3" t="inlineStr">
        <is>
          <t>Publish EURGBP mid</t>
        </is>
      </c>
      <c r="B4" s="12">
        <f>NATS.PUB("fx.derived.EURGBP","Derived Rates'!B3")</f>
        <v/>
      </c>
      <c r="C4" s="10" t="inlineStr">
        <is>
          <t>fx.derived.EURGBP</t>
        </is>
      </c>
    </row>
    <row r="5">
      <c r="A5" s="3" t="inlineStr">
        <is>
          <t>Publish alert</t>
        </is>
      </c>
      <c r="B5" s="12">
        <f>NATS.PUB("fx.derived.alerts",B3)</f>
        <v/>
      </c>
      <c r="C5" s="10" t="inlineStr">
        <is>
          <t>fx.derived.alerts</t>
        </is>
      </c>
    </row>
    <row r="7">
      <c r="A7" s="1" t="inlineStr">
        <is>
          <t>NATS.PUB republishes automatically whenever its input cell changes.</t>
        </is>
      </c>
    </row>
    <row r="8">
      <c r="A8" s="1" t="inlineStr">
        <is>
          <t>Monitor output: nats sub "fx.derived.&gt;"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2026-03-27T09:07:45Z</dcterms:created>
  <dcterms:modified xmlns:dcterms="http://purl.org/dc/terms/" xmlns:xsi="http://www.w3.org/2001/XMLSchema-instance" xsi:type="dcterms:W3CDTF">2026-03-27T09:07:45Z</dcterms:modified>
</cp:coreProperties>
</file>